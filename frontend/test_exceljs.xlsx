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RawData" state="hidden" r:id="rId5"/>
  </sheets>
  <calcPr calcId="171027" fullCalcOnLoad="1"/>
</workbook>
</file>

<file path=xl/sharedStrings.xml><?xml version="1.0" encoding="utf-8"?>
<sst xmlns="http://schemas.openxmlformats.org/spreadsheetml/2006/main" count="34" uniqueCount="22">
  <si>
    <t>Warehouse Physical Stock Report (Unified)</t>
  </si>
  <si>
    <t>Warehouse:</t>
  </si>
  <si>
    <t>All</t>
  </si>
  <si>
    <t>Report Period: 21-06-2026</t>
  </si>
  <si>
    <t>Total (Filtered):</t>
  </si>
  <si>
    <t>Warehouse</t>
  </si>
  <si>
    <t>Item Name</t>
  </si>
  <si>
    <t>Product Code</t>
  </si>
  <si>
    <t>Physical Stock (Case)</t>
  </si>
  <si>
    <t>Allotted Stock (Case)</t>
  </si>
  <si>
    <t>Pending Stock (Case)</t>
  </si>
  <si>
    <t>WH Price</t>
  </si>
  <si>
    <t>Landed Cost</t>
  </si>
  <si>
    <t>WH A</t>
  </si>
  <si>
    <t>Item 1</t>
  </si>
  <si>
    <t>P1</t>
  </si>
  <si>
    <t>WH B</t>
  </si>
  <si>
    <t>Item 2</t>
  </si>
  <si>
    <t>P2</t>
  </si>
  <si>
    <t>WH C</t>
  </si>
  <si>
    <t>Item 3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</si>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</sst>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2" x14ac:dyDescent="0.25">
      <c r="A2" t="s">
        <v>1</v>
      </c>
      <c r="B2" t="s">
        <v>2</v>
      </c>
    </row>
    <row r="3" spans="1:6" x14ac:dyDescent="0.25">
      <c r="A3" t="s">
        <v>3</v>
      </c>
      <c r="B3"/>
      <c r="C3"/>
      <c r="D3"/>
      <c r="E3"/>
      <c r="F3"/>
    </row>
    <row r="5" spans="1:8" x14ac:dyDescent="0.25">
      <c r="A5" t="s">
        <v>4</v>
      </c>
      <c r="D5">
        <f>SUM(D7:D10)</f>
      </c>
      <c r="E5">
        <f>SUM(E7:E10)</f>
      </c>
      <c r="F5">
        <f>SUM(F7:F10)</f>
      </c>
      <c r="G5">
        <f>SUM(G7:G10)</f>
      </c>
      <c r="H5">
        <f>SUM(H7:H10)</f>
      </c>
    </row>
    <row r="6" spans="1: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25">
      <c r="A7">
        <f t="array" ref="A7">IFERROR(INDEX(RawData!A:A, SMALL(IF($B$2="All", ROW(RawData!$A$2:$A$4), IF(RawData!$A$2:$A$4=$B$2, ROW(RawData!$A$2:$A$4))), 1)), "")</f>
      </c>
      <c r="B7">
        <f t="array" ref="B7">IFERROR(INDEX(RawData!B:B, SMALL(IF($B$2="All", ROW(RawData!$A$2:$A$4), IF(RawData!$A$2:$A$4=$B$2, ROW(RawData!$A$2:$A$4))), 1)), "")</f>
      </c>
      <c r="C7">
        <f t="array" ref="C7">IFERROR(INDEX(RawData!C:C, SMALL(IF($B$2="All", ROW(RawData!$A$2:$A$4), IF(RawData!$A$2:$A$4=$B$2, ROW(RawData!$A$2:$A$4))), 1)), "")</f>
      </c>
      <c r="D7">
        <f t="array" ref="D7">IFERROR(INDEX(RawData!D:D, SMALL(IF($B$2="All", ROW(RawData!$A$2:$A$4), IF(RawData!$A$2:$A$4=$B$2, ROW(RawData!$A$2:$A$4))), 1)), "")</f>
      </c>
      <c r="E7">
        <f t="array" ref="E7">IFERROR(INDEX(RawData!E:E, SMALL(IF($B$2="All", ROW(RawData!$A$2:$A$4), IF(RawData!$A$2:$A$4=$B$2, ROW(RawData!$A$2:$A$4))), 1)), "")</f>
      </c>
      <c r="F7">
        <f t="array" ref="F7">IFERROR(INDEX(RawData!F:F, SMALL(IF($B$2="All", ROW(RawData!$A$2:$A$4), IF(RawData!$A$2:$A$4=$B$2, ROW(RawData!$A$2:$A$4))), 1)), "")</f>
      </c>
      <c r="G7">
        <f t="array" ref="G7">IFERROR(INDEX(RawData!G:G, SMALL(IF($B$2="All", ROW(RawData!$A$2:$A$4), IF(RawData!$A$2:$A$4=$B$2, ROW(RawData!$A$2:$A$4))), 1)), "")</f>
      </c>
      <c r="H7">
        <f t="array" ref="H7">IFERROR(INDEX(RawData!H:H, SMALL(IF($B$2="All", ROW(RawData!$A$2:$A$4), IF(RawData!$A$2:$A$4=$B$2, ROW(RawData!$A$2:$A$4))), 1)), "")</f>
      </c>
    </row>
    <row r="8" spans="1:8" x14ac:dyDescent="0.25">
      <c r="A8">
        <f t="array" ref="A8">IFERROR(INDEX(RawData!A:A, SMALL(IF($B$2="All", ROW(RawData!$A$2:$A$4), IF(RawData!$A$2:$A$4=$B$2, ROW(RawData!$A$2:$A$4))), 2)), "")</f>
      </c>
      <c r="B8">
        <f t="array" ref="B8">IFERROR(INDEX(RawData!B:B, SMALL(IF($B$2="All", ROW(RawData!$A$2:$A$4), IF(RawData!$A$2:$A$4=$B$2, ROW(RawData!$A$2:$A$4))), 2)), "")</f>
      </c>
      <c r="C8">
        <f t="array" ref="C8">IFERROR(INDEX(RawData!C:C, SMALL(IF($B$2="All", ROW(RawData!$A$2:$A$4), IF(RawData!$A$2:$A$4=$B$2, ROW(RawData!$A$2:$A$4))), 2)), "")</f>
      </c>
      <c r="D8">
        <f t="array" ref="D8">IFERROR(INDEX(RawData!D:D, SMALL(IF($B$2="All", ROW(RawData!$A$2:$A$4), IF(RawData!$A$2:$A$4=$B$2, ROW(RawData!$A$2:$A$4))), 2)), "")</f>
      </c>
      <c r="E8">
        <f t="array" ref="E8">IFERROR(INDEX(RawData!E:E, SMALL(IF($B$2="All", ROW(RawData!$A$2:$A$4), IF(RawData!$A$2:$A$4=$B$2, ROW(RawData!$A$2:$A$4))), 2)), "")</f>
      </c>
      <c r="F8">
        <f t="array" ref="F8">IFERROR(INDEX(RawData!F:F, SMALL(IF($B$2="All", ROW(RawData!$A$2:$A$4), IF(RawData!$A$2:$A$4=$B$2, ROW(RawData!$A$2:$A$4))), 2)), "")</f>
      </c>
      <c r="G8">
        <f t="array" ref="G8">IFERROR(INDEX(RawData!G:G, SMALL(IF($B$2="All", ROW(RawData!$A$2:$A$4), IF(RawData!$A$2:$A$4=$B$2, ROW(RawData!$A$2:$A$4))), 2)), "")</f>
      </c>
      <c r="H8">
        <f t="array" ref="H8">IFERROR(INDEX(RawData!H:H, SMALL(IF($B$2="All", ROW(RawData!$A$2:$A$4), IF(RawData!$A$2:$A$4=$B$2, ROW(RawData!$A$2:$A$4))), 2)), "")</f>
      </c>
    </row>
    <row r="9" spans="1:8" x14ac:dyDescent="0.25">
      <c r="A9">
        <f t="array" ref="A9">IFERROR(INDEX(RawData!A:A, SMALL(IF($B$2="All", ROW(RawData!$A$2:$A$4), IF(RawData!$A$2:$A$4=$B$2, ROW(RawData!$A$2:$A$4))), 3)), "")</f>
      </c>
      <c r="B9">
        <f t="array" ref="B9">IFERROR(INDEX(RawData!B:B, SMALL(IF($B$2="All", ROW(RawData!$A$2:$A$4), IF(RawData!$A$2:$A$4=$B$2, ROW(RawData!$A$2:$A$4))), 3)), "")</f>
      </c>
      <c r="C9">
        <f t="array" ref="C9">IFERROR(INDEX(RawData!C:C, SMALL(IF($B$2="All", ROW(RawData!$A$2:$A$4), IF(RawData!$A$2:$A$4=$B$2, ROW(RawData!$A$2:$A$4))), 3)), "")</f>
      </c>
      <c r="D9">
        <f t="array" ref="D9">IFERROR(INDEX(RawData!D:D, SMALL(IF($B$2="All", ROW(RawData!$A$2:$A$4), IF(RawData!$A$2:$A$4=$B$2, ROW(RawData!$A$2:$A$4))), 3)), "")</f>
      </c>
      <c r="E9">
        <f t="array" ref="E9">IFERROR(INDEX(RawData!E:E, SMALL(IF($B$2="All", ROW(RawData!$A$2:$A$4), IF(RawData!$A$2:$A$4=$B$2, ROW(RawData!$A$2:$A$4))), 3)), "")</f>
      </c>
      <c r="F9">
        <f t="array" ref="F9">IFERROR(INDEX(RawData!F:F, SMALL(IF($B$2="All", ROW(RawData!$A$2:$A$4), IF(RawData!$A$2:$A$4=$B$2, ROW(RawData!$A$2:$A$4))), 3)), "")</f>
      </c>
      <c r="G9">
        <f t="array" ref="G9">IFERROR(INDEX(RawData!G:G, SMALL(IF($B$2="All", ROW(RawData!$A$2:$A$4), IF(RawData!$A$2:$A$4=$B$2, ROW(RawData!$A$2:$A$4))), 3)), "")</f>
      </c>
      <c r="H9">
        <f t="array" ref="H9">IFERROR(INDEX(RawData!H:H, SMALL(IF($B$2="All", ROW(RawData!$A$2:$A$4), IF(RawData!$A$2:$A$4=$B$2, ROW(RawData!$A$2:$A$4))), 3)), "")</f>
      </c>
    </row>
    <row r="10" spans="1:8" x14ac:dyDescent="0.25">
      <c r="A10">
        <f t="array" ref="A10">IFERROR(INDEX(RawData!A:A, SMALL(IF($B$2="All", ROW(RawData!$A$2:$A$4), IF(RawData!$A$2:$A$4=$B$2, ROW(RawData!$A$2:$A$4))), 4)), "")</f>
      </c>
      <c r="B10">
        <f t="array" ref="B10">IFERROR(INDEX(RawData!B:B, SMALL(IF($B$2="All", ROW(RawData!$A$2:$A$4), IF(RawData!$A$2:$A$4=$B$2, ROW(RawData!$A$2:$A$4))), 4)), "")</f>
      </c>
      <c r="C10">
        <f t="array" ref="C10">IFERROR(INDEX(RawData!C:C, SMALL(IF($B$2="All", ROW(RawData!$A$2:$A$4), IF(RawData!$A$2:$A$4=$B$2, ROW(RawData!$A$2:$A$4))), 4)), "")</f>
      </c>
      <c r="D10">
        <f t="array" ref="D10">IFERROR(INDEX(RawData!D:D, SMALL(IF($B$2="All", ROW(RawData!$A$2:$A$4), IF(RawData!$A$2:$A$4=$B$2, ROW(RawData!$A$2:$A$4))), 4)), "")</f>
      </c>
      <c r="E10">
        <f t="array" ref="E10">IFERROR(INDEX(RawData!E:E, SMALL(IF($B$2="All", ROW(RawData!$A$2:$A$4), IF(RawData!$A$2:$A$4=$B$2, ROW(RawData!$A$2:$A$4))), 4)), "")</f>
      </c>
      <c r="F10">
        <f t="array" ref="F10">IFERROR(INDEX(RawData!F:F, SMALL(IF($B$2="All", ROW(RawData!$A$2:$A$4), IF(RawData!$A$2:$A$4=$B$2, ROW(RawData!$A$2:$A$4))), 4)), "")</f>
      </c>
      <c r="G10">
        <f t="array" ref="G10">IFERROR(INDEX(RawData!G:G, SMALL(IF($B$2="All", ROW(RawData!$A$2:$A$4), IF(RawData!$A$2:$A$4=$B$2, ROW(RawData!$A$2:$A$4))), 4)), "")</f>
      </c>
      <c r="H10">
        <f t="array" ref="H10">IFERROR(INDEX(RawData!H:H, SMALL(IF($B$2="All", ROW(RawData!$A$2:$A$4), IF(RawData!$A$2:$A$4=$B$2, ROW(RawData!$A$2:$A$4))), 4)), "")</f>
      </c>
    </row>
  </sheetData>
  <mergeCells count="2">
    <mergeCell ref="A1:F1"/>
    <mergeCell ref="A3:F3"/>
  </mergeCells>
  <dataValidations count="1">
    <dataValidation type="list" sqref="B2">
      <formula1>RawData!$Z$1:$Z$4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FormatPr defaultRowHeight="15" outlineLevelRow="0" outlineLevelCol="0" x14ac:dyDescent="55"/>
  <sheetData>
    <row r="1" spans="1:2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Z1" t="s">
        <v>2</v>
      </c>
    </row>
    <row r="2" spans="1:26" x14ac:dyDescent="0.25">
      <c r="A2" t="s">
        <v>13</v>
      </c>
      <c r="B2" t="s">
        <v>14</v>
      </c>
      <c r="C2" t="s">
        <v>15</v>
      </c>
      <c r="D2">
        <v>10</v>
      </c>
      <c r="E2">
        <v>5</v>
      </c>
      <c r="F2">
        <v>2</v>
      </c>
      <c r="G2">
        <v>100</v>
      </c>
      <c r="H2">
        <v>110</v>
      </c>
      <c r="Z2" t="s">
        <v>13</v>
      </c>
    </row>
    <row r="3" spans="1:26" x14ac:dyDescent="0.25">
      <c r="A3" t="s">
        <v>16</v>
      </c>
      <c r="B3" t="s">
        <v>17</v>
      </c>
      <c r="C3" t="s">
        <v>18</v>
      </c>
      <c r="D3">
        <v>20</v>
      </c>
      <c r="E3">
        <v>10</v>
      </c>
      <c r="F3">
        <v>4</v>
      </c>
      <c r="G3">
        <v>200</v>
      </c>
      <c r="H3">
        <v>220</v>
      </c>
      <c r="Z3" t="s">
        <v>16</v>
      </c>
    </row>
    <row r="4" spans="1:26" x14ac:dyDescent="0.25">
      <c r="A4" t="s">
        <v>19</v>
      </c>
      <c r="B4" t="s">
        <v>20</v>
      </c>
      <c r="C4" t="s">
        <v>21</v>
      </c>
      <c r="D4">
        <v>30</v>
      </c>
      <c r="E4">
        <v>15</v>
      </c>
      <c r="F4">
        <v>6</v>
      </c>
      <c r="G4">
        <v>300</v>
      </c>
      <c r="H4">
        <v>330</v>
      </c>
      <c r="Z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RawData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2026-06-21T10:27:17Z</dcterms:created>
  <dcterms:modified xsi:type="dcterms:W3CDTF">2026-06-21T10:27:17Z</dcterms:modified>
</cp:coreProperties>
</file>